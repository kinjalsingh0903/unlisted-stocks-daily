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15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<sst xmlns="http://schemas.openxmlformats.org/spreadsheetml/2006/main" count="222" uniqueCount="156">
  <si>
    <t xml:space="preserve">Top 15 Unlisted Stocks Watchlist</t>
  </si>
  <si>
    <t xml:space="preserve">Refreshed:</t>
  </si>
  <si>
    <t xml:space="preserve">[auto-filled each run]</t>
  </si>
  <si>
    <t xml:space="preserve">Schedule: Mon &amp; Thu, 7:00 AM IST</t>
  </si>
  <si>
    <t xml:space="preserve">Ranking: Consensus across 34 sources (ties → 1Y return, then Rev Growth)</t>
  </si>
  <si>
    <t xml:space="preserve">IDENTITY</t>
  </si>
  <si>
    <t xml:space="preserve">VALUATION</t>
  </si>
  <si>
    <t xml:space="preserve">TRADING RANGE</t>
  </si>
  <si>
    <t xml:space="preserve">FUNDAMENTALS</t>
  </si>
  <si>
    <t xml:space="preserve">GROWTH</t>
  </si>
  <si>
    <t xml:space="preserve">RETURNS</t>
  </si>
  <si>
    <t xml:space="preserve">PEERS</t>
  </si>
  <si>
    <t xml:space="preserve">IPO</t>
  </si>
  <si>
    <t xml:space="preserve">AUDIT</t>
  </si>
  <si>
    <t xml:space="preserve">Sr. No.</t>
  </si>
  <si>
    <t xml:space="preserve">Unlisted Stock Name</t>
  </si>
  <si>
    <t xml:space="preserve">Sector</t>
  </si>
  <si>
    <t xml:space="preserve">Price (₹)</t>
  </si>
  <si>
    <t xml:space="preserve">Face Value (₹)</t>
  </si>
  <si>
    <t xml:space="preserve">Lot Size</t>
  </si>
  <si>
    <t xml:space="preserve">Min Investment (₹)</t>
  </si>
  <si>
    <t xml:space="preserve">Market Cap (₹ Cr)</t>
  </si>
  <si>
    <t xml:space="preserve">52W High (₹)</t>
  </si>
  <si>
    <t xml:space="preserve">52W Low (₹)</t>
  </si>
  <si>
    <t xml:space="preserve">P/E Ratio</t>
  </si>
  <si>
    <t xml:space="preserve">P/B Ratio</t>
  </si>
  <si>
    <t xml:space="preserve">Book Value (₹)</t>
  </si>
  <si>
    <t xml:space="preserve">Debt / Equity</t>
  </si>
  <si>
    <t xml:space="preserve">ROE (%)</t>
  </si>
  <si>
    <t xml:space="preserve">Rev Growth YoY (%)</t>
  </si>
  <si>
    <t xml:space="preserve">1Y Return (%)</t>
  </si>
  <si>
    <t xml:space="preserve">2Y Return (%)</t>
  </si>
  <si>
    <t xml:space="preserve">Peers Name</t>
  </si>
  <si>
    <t xml:space="preserve">Peer P/E</t>
  </si>
  <si>
    <t xml:space="preserve">IPO Status</t>
  </si>
  <si>
    <t xml:space="preserve">Expected IPO Window</t>
  </si>
  <si>
    <t xml:space="preserve"># Sources</t>
  </si>
  <si>
    <t xml:space="preserve">Primary Source</t>
  </si>
  <si>
    <t xml:space="preserve">Last Updated</t>
  </si>
  <si>
    <t xml:space="preserve">SUMMARY</t>
  </si>
  <si>
    <t xml:space="preserve">Avg # Sources:</t>
  </si>
  <si>
    <t xml:space="preserve">Picks filled:</t>
  </si>
  <si>
    <t xml:space="preserve">Green = positive trend · Red = negative trend · Blank cells = data not publicly available for that stock / source</t>
  </si>
  <si>
    <t xml:space="preserve">Source Tracker — 34 sites (9 active, 25 limited by anti-bot / wrong category)</t>
  </si>
  <si>
    <t xml:space="preserve">● Active sources send data every run · ○ Limited sources listed for transparency only</t>
  </si>
  <si>
    <t xml:space="preserve">Status</t>
  </si>
  <si>
    <t xml:space="preserve">#</t>
  </si>
  <si>
    <t xml:space="preserve">Source Name</t>
  </si>
  <si>
    <t xml:space="preserve">URL</t>
  </si>
  <si>
    <t xml:space="preserve">Category</t>
  </si>
  <si>
    <t xml:space="preserve">Role / What it gives</t>
  </si>
  <si>
    <t xml:space="preserve">Last Fetched</t>
  </si>
  <si>
    <t xml:space="preserve">●</t>
  </si>
  <si>
    <t xml:space="preserve">UnlistedZone</t>
  </si>
  <si>
    <t xml:space="preserve">https://unlistedzone.com/unlisted-shares-price-list-india</t>
  </si>
  <si>
    <t xml:space="preserve">Marketplace</t>
  </si>
  <si>
    <t xml:space="preserve">Price, availability, research blog</t>
  </si>
  <si>
    <t xml:space="preserve">InCred Money</t>
  </si>
  <si>
    <t xml:space="preserve">https://www.incredmoney.com/unlisted-shares</t>
  </si>
  <si>
    <t xml:space="preserve">Wealth</t>
  </si>
  <si>
    <t xml:space="preserve">Valuations, primary rounds</t>
  </si>
  <si>
    <t xml:space="preserve">Unlisted Arena</t>
  </si>
  <si>
    <t xml:space="preserve">https://www.unlistedarena.com/unlisted-shares-list/</t>
  </si>
  <si>
    <t xml:space="preserve">Broker</t>
  </si>
  <si>
    <t xml:space="preserve">Curated 60+ pre-IPO, media-quoted</t>
  </si>
  <si>
    <t xml:space="preserve">Stockify</t>
  </si>
  <si>
    <t xml:space="preserve">https://stockify.net.in/unlisted-shares-price-list-india/</t>
  </si>
  <si>
    <t xml:space="preserve">Price table + detail pages (sector, P/B, D/E, ROE, Rev Growth)</t>
  </si>
  <si>
    <t xml:space="preserve">○</t>
  </si>
  <si>
    <t xml:space="preserve">Planify</t>
  </si>
  <si>
    <t xml:space="preserve">https://www.planify.in/</t>
  </si>
  <si>
    <t xml:space="preserve">Detail-page enrichment (52W, Lot Size, Face Value)</t>
  </si>
  <si>
    <t xml:space="preserve">Altius Investech</t>
  </si>
  <si>
    <t xml:space="preserve">https://altiusinvestech.com/companymain</t>
  </si>
  <si>
    <t xml:space="preserve">300+ companies, A-Z index</t>
  </si>
  <si>
    <t xml:space="preserve">SharesCart</t>
  </si>
  <si>
    <t xml:space="preserve">https://www.sharescart.com/unlisted-shares/</t>
  </si>
  <si>
    <t xml:space="preserve">Broad coverage, editorial</t>
  </si>
  <si>
    <t xml:space="preserve">Unlisted Share Brokers</t>
  </si>
  <si>
    <t xml:space="preserve">https://www.unlistedsharebrokers.com/</t>
  </si>
  <si>
    <t xml:space="preserve">Limited — JS-rendered list, paid render needed</t>
  </si>
  <si>
    <t xml:space="preserve">Precize</t>
  </si>
  <si>
    <t xml:space="preserve">https://www.precize.in/</t>
  </si>
  <si>
    <t xml:space="preserve">Limited — client-rendered (Next.js)</t>
  </si>
  <si>
    <t xml:space="preserve">WWIPL</t>
  </si>
  <si>
    <t xml:space="preserve">https://wwipl.com/unlisted-companies-india</t>
  </si>
  <si>
    <t xml:space="preserve">Portfolio list with Last Traded Prices</t>
  </si>
  <si>
    <t xml:space="preserve">Rits Capital</t>
  </si>
  <si>
    <t xml:space="preserve">https://www.ritscapital.com/</t>
  </si>
  <si>
    <t xml:space="preserve">Advisory</t>
  </si>
  <si>
    <t xml:space="preserve">Limited — blog only, no stock list</t>
  </si>
  <si>
    <t xml:space="preserve">Delisted Stocks</t>
  </si>
  <si>
    <t xml:space="preserve">https://www.delistedstocks.in/</t>
  </si>
  <si>
    <t xml:space="preserve">Full Buy/Sell price table</t>
  </si>
  <si>
    <t xml:space="preserve">SEBI Filings</t>
  </si>
  <si>
    <t xml:space="preserve">https://www.sebi.gov.in/filings/public-issues.html</t>
  </si>
  <si>
    <t xml:space="preserve">Regulator</t>
  </si>
  <si>
    <t xml:space="preserve">Limited — PDF-based, would need parsing</t>
  </si>
  <si>
    <t xml:space="preserve">MCA Portal</t>
  </si>
  <si>
    <t xml:space="preserve">https://www.mca.gov.in/</t>
  </si>
  <si>
    <t xml:space="preserve">Limited — login + captcha required</t>
  </si>
  <si>
    <t xml:space="preserve">TradeUnlisted</t>
  </si>
  <si>
    <t xml:space="preserve">https://tradeunlisted.com/</t>
  </si>
  <si>
    <t xml:space="preserve">Limited — client-rendered</t>
  </si>
  <si>
    <t xml:space="preserve">Dharawat Securities</t>
  </si>
  <si>
    <t xml:space="preserve">https://buysellunlistedshares.com/</t>
  </si>
  <si>
    <t xml:space="preserve">Limited — table structure variable</t>
  </si>
  <si>
    <t xml:space="preserve">UnlistedKart</t>
  </si>
  <si>
    <t xml:space="preserve">https://unlistedkart.com/</t>
  </si>
  <si>
    <t xml:space="preserve">Limited — now Qapita, platform login</t>
  </si>
  <si>
    <t xml:space="preserve">Qapita</t>
  </si>
  <si>
    <t xml:space="preserve">https://www.qapita.com/</t>
  </si>
  <si>
    <t xml:space="preserve">Cap table</t>
  </si>
  <si>
    <t xml:space="preserve">Limited — private company SaaS</t>
  </si>
  <si>
    <t xml:space="preserve">Parasram Trade</t>
  </si>
  <si>
    <t xml:space="preserve">https://parasramtrade.com/</t>
  </si>
  <si>
    <t xml:space="preserve">Limited — login required</t>
  </si>
  <si>
    <t xml:space="preserve">Chittorgarh</t>
  </si>
  <si>
    <t xml:space="preserve">https://www.chittorgarh.com/</t>
  </si>
  <si>
    <t xml:space="preserve">IPO tracker</t>
  </si>
  <si>
    <t xml:space="preserve">IPO pipeline: status + expected window</t>
  </si>
  <si>
    <t xml:space="preserve">IPO Central</t>
  </si>
  <si>
    <t xml:space="preserve">https://www.ipocentral.in/</t>
  </si>
  <si>
    <t xml:space="preserve">IPO pipeline: calendar + DRHP tracking</t>
  </si>
  <si>
    <t xml:space="preserve">IPO Watch</t>
  </si>
  <si>
    <t xml:space="preserve">https://www.ipowatch.in/</t>
  </si>
  <si>
    <t xml:space="preserve">IPO pipeline: subscription data + GMP</t>
  </si>
  <si>
    <t xml:space="preserve">Moneycontrol</t>
  </si>
  <si>
    <t xml:space="preserve">https://www.moneycontrol.com/</t>
  </si>
  <si>
    <t xml:space="preserve">News</t>
  </si>
  <si>
    <t xml:space="preserve">Limited — articles, not structured lists</t>
  </si>
  <si>
    <t xml:space="preserve">Economic Times Markets</t>
  </si>
  <si>
    <t xml:space="preserve">https://economictimes.indiatimes.com/markets</t>
  </si>
  <si>
    <t xml:space="preserve">LiveMint Markets</t>
  </si>
  <si>
    <t xml:space="preserve">https://www.livemint.com/market</t>
  </si>
  <si>
    <t xml:space="preserve">Business Standard</t>
  </si>
  <si>
    <t xml:space="preserve">https://www.business-standard.com/markets</t>
  </si>
  <si>
    <t xml:space="preserve">Financial Express</t>
  </si>
  <si>
    <t xml:space="preserve">https://www.financialexpress.com/market/</t>
  </si>
  <si>
    <t xml:space="preserve">NDTV Profit</t>
  </si>
  <si>
    <t xml:space="preserve">https://www.ndtvprofit.com/markets</t>
  </si>
  <si>
    <t xml:space="preserve">Trendlyne</t>
  </si>
  <si>
    <t xml:space="preserve">https://trendlyne.com/</t>
  </si>
  <si>
    <t xml:space="preserve">Screener</t>
  </si>
  <si>
    <t xml:space="preserve">Limited — covers listed stocks only</t>
  </si>
  <si>
    <t xml:space="preserve">Tickertape</t>
  </si>
  <si>
    <t xml:space="preserve">https://www.tickertape.in/</t>
  </si>
  <si>
    <t xml:space="preserve">Screener.in</t>
  </si>
  <si>
    <t xml:space="preserve">https://www.screener.in/</t>
  </si>
  <si>
    <t xml:space="preserve">Tijori Finance</t>
  </si>
  <si>
    <t xml:space="preserve">https://www.tijorifinance.com/</t>
  </si>
  <si>
    <t xml:space="preserve">Research</t>
  </si>
  <si>
    <t xml:space="preserve">StockEdge</t>
  </si>
  <si>
    <t xml:space="preserve">https://web.stockedge.com/</t>
  </si>
  <si>
    <t xml:space="preserve">Equity Master</t>
  </si>
  <si>
    <t xml:space="preserve">https://www.equitymaster.com/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</si>
</sst>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₹#,##0.00;[RED]&quot;(₹&quot;#,##0.00\);\-"/>
    <numFmt numFmtId="167" formatCode="\₹#,##0;[RED]&quot;(₹&quot;#,##0\);\-"/>
    <numFmt numFmtId="168" formatCode="0.00;[RED]\(0.00\);\-"/>
    <numFmt numFmtId="169" formatCode="0.0\%;[RED]\-0.0\%;\-"/>
    <numFmt numFmtId="170" formatCode="dd\-mmm\-yyyy"/>
    <numFmt numFmtId="171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1F3A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6B7280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4"/>
      <color rgb="FF059669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4"/>
      <color rgb="FF6B728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2C4A73"/>
      </patternFill>
    </fill>
    <fill>
      <patternFill patternType="solid">
        <fgColor rgb="FFE8EEF5"/>
        <bgColor rgb="FFE5E7EB"/>
      </patternFill>
    </fill>
    <fill>
      <patternFill patternType="solid">
        <fgColor rgb="FFFFFFFF"/>
        <bgColor rgb="FFFAFBFC"/>
      </patternFill>
    </fill>
    <fill>
      <patternFill patternType="solid">
        <fgColor rgb="FFFAFBFC"/>
        <bgColor rgb="FFFFFFFF"/>
      </patternFill>
    </fill>
    <fill>
      <patternFill patternType="solid">
        <fgColor rgb="FF2C4A73"/>
        <bgColor rgb="FF1F3A5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3B8D0"/>
      </left>
      <right/>
      <top/>
      <bottom style="thin">
        <color rgb="FFA3B8D0"/>
      </bottom>
      <diagonal/>
    </border>
    <border diagonalUp="false" diagonalDown="false">
      <left style="thin">
        <color rgb="FFA3B8D0"/>
      </left>
      <right style="thin">
        <color rgb="FFA3B8D0"/>
      </right>
      <top/>
      <bottom style="thin">
        <color rgb="FFA3B8D0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A3B8D0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59669"/>
        <sz val="10"/>
      </font>
    </dxf>
    <dxf>
      <font>
        <name val="Calibri"/>
        <charset val="1"/>
        <family val="0"/>
        <b val="1"/>
        <color rgb="FFDC2626"/>
        <sz val="10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A3B8D0"/>
      <rgbColor rgb="FF808080"/>
      <rgbColor rgb="FF9999FF"/>
      <rgbColor rgb="FF993366"/>
      <rgbColor rgb="FFFAFBFC"/>
      <rgbColor rgb="FFE8EE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2C4A7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10" min="9" style="0" width="13"/>
    <col collapsed="false" customWidth="true" hidden="false" outlineLevel="0" max="12" min="11" style="0" width="10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6"/>
    <col collapsed="false" customWidth="true" hidden="false" outlineLevel="0" max="18" min="17" style="0" width="13"/>
    <col collapsed="false" customWidth="true" hidden="false" outlineLevel="0" max="19" min="19" style="0" width="28"/>
    <col collapsed="false" customWidth="true" hidden="false" outlineLevel="0" max="20" min="20" style="0" width="10"/>
    <col collapsed="false" customWidth="true" hidden="false" outlineLevel="0" max="22" min="21" style="0" width="20"/>
    <col collapsed="false" customWidth="true" hidden="false" outlineLevel="0" max="23" min="23" style="0" width="11"/>
    <col collapsed="false" customWidth="true" hidden="false" outlineLevel="0" max="24" min="24" style="0" width="18"/>
    <col collapsed="false" customWidth="true" hidden="false" outlineLevel="0" max="25" min="25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1.7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4"/>
      <c r="I2" s="4"/>
      <c r="J2" s="4"/>
      <c r="K2" s="4"/>
      <c r="L2" s="4"/>
      <c r="M2" s="4"/>
      <c r="N2" s="5" t="s">
        <v>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18" hidden="false" customHeight="true" outlineLevel="0" collapsed="false">
      <c r="A3" s="6" t="s">
        <v>5</v>
      </c>
      <c r="B3" s="6"/>
      <c r="C3" s="6"/>
      <c r="D3" s="6" t="s">
        <v>6</v>
      </c>
      <c r="E3" s="6"/>
      <c r="F3" s="6"/>
      <c r="G3" s="6"/>
      <c r="H3" s="6"/>
      <c r="I3" s="6" t="s">
        <v>7</v>
      </c>
      <c r="J3" s="6"/>
      <c r="K3" s="6" t="s">
        <v>8</v>
      </c>
      <c r="L3" s="6"/>
      <c r="M3" s="6"/>
      <c r="N3" s="6"/>
      <c r="O3" s="6"/>
      <c r="P3" s="7" t="s">
        <v>9</v>
      </c>
      <c r="Q3" s="6" t="s">
        <v>10</v>
      </c>
      <c r="R3" s="6"/>
      <c r="S3" s="6" t="s">
        <v>11</v>
      </c>
      <c r="T3" s="6"/>
      <c r="U3" s="6" t="s">
        <v>12</v>
      </c>
      <c r="V3" s="6"/>
      <c r="W3" s="6" t="s">
        <v>13</v>
      </c>
      <c r="X3" s="6"/>
      <c r="Y3" s="6"/>
    </row>
    <row r="4" customFormat="false" ht="43.5" hidden="false" customHeight="true" outlineLevel="0" collapsed="false">
      <c r="A4" s="8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28</v>
      </c>
      <c r="P4" s="8" t="s">
        <v>29</v>
      </c>
      <c r="Q4" s="8" t="s">
        <v>30</v>
      </c>
      <c r="R4" s="8" t="s">
        <v>31</v>
      </c>
      <c r="S4" s="8" t="s">
        <v>32</v>
      </c>
      <c r="T4" s="8" t="s">
        <v>33</v>
      </c>
      <c r="U4" s="8" t="s">
        <v>34</v>
      </c>
      <c r="V4" s="8" t="s">
        <v>35</v>
      </c>
      <c r="W4" s="8" t="s">
        <v>36</v>
      </c>
      <c r="X4" s="8" t="s">
        <v>37</v>
      </c>
      <c r="Y4" s="8" t="s">
        <v>38</v>
      </c>
    </row>
    <row r="5" customFormat="false" ht="15" hidden="false" customHeight="false" outlineLevel="0" collapsed="false">
      <c r="A5" s="9" t="n">
        <v>1</v>
      </c>
      <c r="B5" s="10"/>
      <c r="C5" s="11"/>
      <c r="D5" s="12"/>
      <c r="E5" s="12"/>
      <c r="F5" s="9"/>
      <c r="G5" s="12" t="str">
        <f aca="false">IF(COUNT(D5,F5)=2,D5*F5,"")</f>
        <v/>
      </c>
      <c r="H5" s="13"/>
      <c r="I5" s="12"/>
      <c r="J5" s="14"/>
      <c r="K5" s="15"/>
      <c r="L5" s="15"/>
      <c r="M5" s="12"/>
      <c r="N5" s="15"/>
      <c r="O5" s="16"/>
      <c r="P5" s="16"/>
      <c r="Q5" s="17"/>
      <c r="R5" s="16"/>
      <c r="S5" s="10"/>
      <c r="T5" s="18"/>
      <c r="U5" s="10"/>
      <c r="V5" s="11"/>
      <c r="W5" s="9"/>
      <c r="X5" s="10"/>
      <c r="Y5" s="19"/>
    </row>
    <row r="6" customFormat="false" ht="15" hidden="false" customHeight="false" outlineLevel="0" collapsed="false">
      <c r="A6" s="20" t="n">
        <v>2</v>
      </c>
      <c r="B6" s="21"/>
      <c r="C6" s="22"/>
      <c r="D6" s="23"/>
      <c r="E6" s="23"/>
      <c r="F6" s="20"/>
      <c r="G6" s="23" t="str">
        <f aca="false">IF(COUNT(D6,F6)=2,D6*F6,"")</f>
        <v/>
      </c>
      <c r="H6" s="24"/>
      <c r="I6" s="23"/>
      <c r="J6" s="25"/>
      <c r="K6" s="26"/>
      <c r="L6" s="26"/>
      <c r="M6" s="23"/>
      <c r="N6" s="26"/>
      <c r="O6" s="27"/>
      <c r="P6" s="27"/>
      <c r="Q6" s="28"/>
      <c r="R6" s="27"/>
      <c r="S6" s="21"/>
      <c r="T6" s="29"/>
      <c r="U6" s="21"/>
      <c r="V6" s="22"/>
      <c r="W6" s="20"/>
      <c r="X6" s="21"/>
      <c r="Y6" s="30"/>
    </row>
    <row r="7" customFormat="false" ht="15" hidden="false" customHeight="false" outlineLevel="0" collapsed="false">
      <c r="A7" s="9" t="n">
        <v>3</v>
      </c>
      <c r="B7" s="10"/>
      <c r="C7" s="11"/>
      <c r="D7" s="12"/>
      <c r="E7" s="12"/>
      <c r="F7" s="9"/>
      <c r="G7" s="12" t="str">
        <f aca="false">IF(COUNT(D7,F7)=2,D7*F7,"")</f>
        <v/>
      </c>
      <c r="H7" s="13"/>
      <c r="I7" s="12"/>
      <c r="J7" s="14"/>
      <c r="K7" s="15"/>
      <c r="L7" s="15"/>
      <c r="M7" s="12"/>
      <c r="N7" s="15"/>
      <c r="O7" s="16"/>
      <c r="P7" s="16"/>
      <c r="Q7" s="17"/>
      <c r="R7" s="16"/>
      <c r="S7" s="10"/>
      <c r="T7" s="18"/>
      <c r="U7" s="10"/>
      <c r="V7" s="11"/>
      <c r="W7" s="9"/>
      <c r="X7" s="10"/>
      <c r="Y7" s="19"/>
    </row>
    <row r="8" customFormat="false" ht="15" hidden="false" customHeight="false" outlineLevel="0" collapsed="false">
      <c r="A8" s="20" t="n">
        <v>4</v>
      </c>
      <c r="B8" s="21"/>
      <c r="C8" s="22"/>
      <c r="D8" s="23"/>
      <c r="E8" s="23"/>
      <c r="F8" s="20"/>
      <c r="G8" s="23" t="str">
        <f aca="false">IF(COUNT(D8,F8)=2,D8*F8,"")</f>
        <v/>
      </c>
      <c r="H8" s="24"/>
      <c r="I8" s="23"/>
      <c r="J8" s="25"/>
      <c r="K8" s="26"/>
      <c r="L8" s="26"/>
      <c r="M8" s="23"/>
      <c r="N8" s="26"/>
      <c r="O8" s="27"/>
      <c r="P8" s="27"/>
      <c r="Q8" s="28"/>
      <c r="R8" s="27"/>
      <c r="S8" s="21"/>
      <c r="T8" s="29"/>
      <c r="U8" s="21"/>
      <c r="V8" s="22"/>
      <c r="W8" s="20"/>
      <c r="X8" s="21"/>
      <c r="Y8" s="30"/>
    </row>
    <row r="9" customFormat="false" ht="15" hidden="false" customHeight="false" outlineLevel="0" collapsed="false">
      <c r="A9" s="9" t="n">
        <v>5</v>
      </c>
      <c r="B9" s="10"/>
      <c r="C9" s="11"/>
      <c r="D9" s="12"/>
      <c r="E9" s="12"/>
      <c r="F9" s="9"/>
      <c r="G9" s="12" t="str">
        <f aca="false">IF(COUNT(D9,F9)=2,D9*F9,"")</f>
        <v/>
      </c>
      <c r="H9" s="13"/>
      <c r="I9" s="12"/>
      <c r="J9" s="14"/>
      <c r="K9" s="15"/>
      <c r="L9" s="15"/>
      <c r="M9" s="12"/>
      <c r="N9" s="15"/>
      <c r="O9" s="16"/>
      <c r="P9" s="16"/>
      <c r="Q9" s="17"/>
      <c r="R9" s="16"/>
      <c r="S9" s="10"/>
      <c r="T9" s="18"/>
      <c r="U9" s="10"/>
      <c r="V9" s="11"/>
      <c r="W9" s="9"/>
      <c r="X9" s="10"/>
      <c r="Y9" s="19"/>
    </row>
    <row r="10" customFormat="false" ht="15" hidden="false" customHeight="false" outlineLevel="0" collapsed="false">
      <c r="A10" s="20" t="n">
        <v>6</v>
      </c>
      <c r="B10" s="21"/>
      <c r="C10" s="22"/>
      <c r="D10" s="23"/>
      <c r="E10" s="23"/>
      <c r="F10" s="20"/>
      <c r="G10" s="23" t="str">
        <f aca="false">IF(COUNT(D10,F10)=2,D10*F10,"")</f>
        <v/>
      </c>
      <c r="H10" s="24"/>
      <c r="I10" s="23"/>
      <c r="J10" s="25"/>
      <c r="K10" s="26"/>
      <c r="L10" s="26"/>
      <c r="M10" s="23"/>
      <c r="N10" s="26"/>
      <c r="O10" s="27"/>
      <c r="P10" s="27"/>
      <c r="Q10" s="28"/>
      <c r="R10" s="27"/>
      <c r="S10" s="21"/>
      <c r="T10" s="29"/>
      <c r="U10" s="21"/>
      <c r="V10" s="22"/>
      <c r="W10" s="20"/>
      <c r="X10" s="21"/>
      <c r="Y10" s="30"/>
    </row>
    <row r="11" customFormat="false" ht="15" hidden="false" customHeight="false" outlineLevel="0" collapsed="false">
      <c r="A11" s="9" t="n">
        <v>7</v>
      </c>
      <c r="B11" s="10"/>
      <c r="C11" s="11"/>
      <c r="D11" s="12"/>
      <c r="E11" s="12"/>
      <c r="F11" s="9"/>
      <c r="G11" s="12" t="str">
        <f aca="false">IF(COUNT(D11,F11)=2,D11*F11,"")</f>
        <v/>
      </c>
      <c r="H11" s="13"/>
      <c r="I11" s="12"/>
      <c r="J11" s="14"/>
      <c r="K11" s="15"/>
      <c r="L11" s="15"/>
      <c r="M11" s="12"/>
      <c r="N11" s="15"/>
      <c r="O11" s="16"/>
      <c r="P11" s="16"/>
      <c r="Q11" s="17"/>
      <c r="R11" s="16"/>
      <c r="S11" s="10"/>
      <c r="T11" s="18"/>
      <c r="U11" s="10"/>
      <c r="V11" s="11"/>
      <c r="W11" s="9"/>
      <c r="X11" s="10"/>
      <c r="Y11" s="19"/>
    </row>
    <row r="12" customFormat="false" ht="15" hidden="false" customHeight="false" outlineLevel="0" collapsed="false">
      <c r="A12" s="20" t="n">
        <v>8</v>
      </c>
      <c r="B12" s="21"/>
      <c r="C12" s="22"/>
      <c r="D12" s="23"/>
      <c r="E12" s="23"/>
      <c r="F12" s="20"/>
      <c r="G12" s="23" t="str">
        <f aca="false">IF(COUNT(D12,F12)=2,D12*F12,"")</f>
        <v/>
      </c>
      <c r="H12" s="24"/>
      <c r="I12" s="23"/>
      <c r="J12" s="25"/>
      <c r="K12" s="26"/>
      <c r="L12" s="26"/>
      <c r="M12" s="23"/>
      <c r="N12" s="26"/>
      <c r="O12" s="27"/>
      <c r="P12" s="27"/>
      <c r="Q12" s="28"/>
      <c r="R12" s="27"/>
      <c r="S12" s="21"/>
      <c r="T12" s="29"/>
      <c r="U12" s="21"/>
      <c r="V12" s="22"/>
      <c r="W12" s="20"/>
      <c r="X12" s="21"/>
      <c r="Y12" s="30"/>
    </row>
    <row r="13" customFormat="false" ht="15" hidden="false" customHeight="false" outlineLevel="0" collapsed="false">
      <c r="A13" s="9" t="n">
        <v>9</v>
      </c>
      <c r="B13" s="10"/>
      <c r="C13" s="11"/>
      <c r="D13" s="12"/>
      <c r="E13" s="12"/>
      <c r="F13" s="9"/>
      <c r="G13" s="12" t="str">
        <f aca="false">IF(COUNT(D13,F13)=2,D13*F13,"")</f>
        <v/>
      </c>
      <c r="H13" s="13"/>
      <c r="I13" s="12"/>
      <c r="J13" s="14"/>
      <c r="K13" s="15"/>
      <c r="L13" s="15"/>
      <c r="M13" s="12"/>
      <c r="N13" s="15"/>
      <c r="O13" s="16"/>
      <c r="P13" s="16"/>
      <c r="Q13" s="17"/>
      <c r="R13" s="16"/>
      <c r="S13" s="10"/>
      <c r="T13" s="18"/>
      <c r="U13" s="10"/>
      <c r="V13" s="11"/>
      <c r="W13" s="9"/>
      <c r="X13" s="10"/>
      <c r="Y13" s="19"/>
    </row>
    <row r="14" customFormat="false" ht="15" hidden="false" customHeight="false" outlineLevel="0" collapsed="false">
      <c r="A14" s="20" t="n">
        <v>10</v>
      </c>
      <c r="B14" s="21"/>
      <c r="C14" s="22"/>
      <c r="D14" s="23"/>
      <c r="E14" s="23"/>
      <c r="F14" s="20"/>
      <c r="G14" s="23" t="str">
        <f aca="false">IF(COUNT(D14,F14)=2,D14*F14,"")</f>
        <v/>
      </c>
      <c r="H14" s="24"/>
      <c r="I14" s="23"/>
      <c r="J14" s="25"/>
      <c r="K14" s="26"/>
      <c r="L14" s="26"/>
      <c r="M14" s="23"/>
      <c r="N14" s="26"/>
      <c r="O14" s="27"/>
      <c r="P14" s="27"/>
      <c r="Q14" s="28"/>
      <c r="R14" s="27"/>
      <c r="S14" s="21"/>
      <c r="T14" s="29"/>
      <c r="U14" s="21"/>
      <c r="V14" s="22"/>
      <c r="W14" s="20"/>
      <c r="X14" s="21"/>
      <c r="Y14" s="30"/>
    </row>
    <row r="15" customFormat="false" ht="15" hidden="false" customHeight="false" outlineLevel="0" collapsed="false">
      <c r="A15" s="9" t="n">
        <v>11</v>
      </c>
      <c r="B15" s="10"/>
      <c r="C15" s="11"/>
      <c r="D15" s="12"/>
      <c r="E15" s="12"/>
      <c r="F15" s="9"/>
      <c r="G15" s="12" t="str">
        <f aca="false">IF(COUNT(D15,F15)=2,D15*F15,"")</f>
        <v/>
      </c>
      <c r="H15" s="13"/>
      <c r="I15" s="12"/>
      <c r="J15" s="14"/>
      <c r="K15" s="15"/>
      <c r="L15" s="15"/>
      <c r="M15" s="12"/>
      <c r="N15" s="15"/>
      <c r="O15" s="16"/>
      <c r="P15" s="16"/>
      <c r="Q15" s="17"/>
      <c r="R15" s="16"/>
      <c r="S15" s="10"/>
      <c r="T15" s="18"/>
      <c r="U15" s="10"/>
      <c r="V15" s="11"/>
      <c r="W15" s="9"/>
      <c r="X15" s="10"/>
      <c r="Y15" s="19"/>
    </row>
    <row r="16" customFormat="false" ht="15" hidden="false" customHeight="false" outlineLevel="0" collapsed="false">
      <c r="A16" s="20" t="n">
        <v>12</v>
      </c>
      <c r="B16" s="21"/>
      <c r="C16" s="22"/>
      <c r="D16" s="23"/>
      <c r="E16" s="23"/>
      <c r="F16" s="20"/>
      <c r="G16" s="23" t="str">
        <f aca="false">IF(COUNT(D16,F16)=2,D16*F16,"")</f>
        <v/>
      </c>
      <c r="H16" s="24"/>
      <c r="I16" s="23"/>
      <c r="J16" s="25"/>
      <c r="K16" s="26"/>
      <c r="L16" s="26"/>
      <c r="M16" s="23"/>
      <c r="N16" s="26"/>
      <c r="O16" s="27"/>
      <c r="P16" s="27"/>
      <c r="Q16" s="28"/>
      <c r="R16" s="27"/>
      <c r="S16" s="21"/>
      <c r="T16" s="29"/>
      <c r="U16" s="21"/>
      <c r="V16" s="22"/>
      <c r="W16" s="20"/>
      <c r="X16" s="21"/>
      <c r="Y16" s="30"/>
    </row>
    <row r="17" customFormat="false" ht="15" hidden="false" customHeight="false" outlineLevel="0" collapsed="false">
      <c r="A17" s="9" t="n">
        <v>13</v>
      </c>
      <c r="B17" s="10"/>
      <c r="C17" s="11"/>
      <c r="D17" s="12"/>
      <c r="E17" s="12"/>
      <c r="F17" s="9"/>
      <c r="G17" s="12" t="str">
        <f aca="false">IF(COUNT(D17,F17)=2,D17*F17,"")</f>
        <v/>
      </c>
      <c r="H17" s="13"/>
      <c r="I17" s="12"/>
      <c r="J17" s="14"/>
      <c r="K17" s="15"/>
      <c r="L17" s="15"/>
      <c r="M17" s="12"/>
      <c r="N17" s="15"/>
      <c r="O17" s="16"/>
      <c r="P17" s="16"/>
      <c r="Q17" s="17"/>
      <c r="R17" s="16"/>
      <c r="S17" s="10"/>
      <c r="T17" s="18"/>
      <c r="U17" s="10"/>
      <c r="V17" s="11"/>
      <c r="W17" s="9"/>
      <c r="X17" s="10"/>
      <c r="Y17" s="19"/>
    </row>
    <row r="18" customFormat="false" ht="15" hidden="false" customHeight="false" outlineLevel="0" collapsed="false">
      <c r="A18" s="20" t="n">
        <v>14</v>
      </c>
      <c r="B18" s="21"/>
      <c r="C18" s="22"/>
      <c r="D18" s="23"/>
      <c r="E18" s="23"/>
      <c r="F18" s="20"/>
      <c r="G18" s="23" t="str">
        <f aca="false">IF(COUNT(D18,F18)=2,D18*F18,"")</f>
        <v/>
      </c>
      <c r="H18" s="24"/>
      <c r="I18" s="23"/>
      <c r="J18" s="25"/>
      <c r="K18" s="26"/>
      <c r="L18" s="26"/>
      <c r="M18" s="23"/>
      <c r="N18" s="26"/>
      <c r="O18" s="27"/>
      <c r="P18" s="27"/>
      <c r="Q18" s="28"/>
      <c r="R18" s="27"/>
      <c r="S18" s="21"/>
      <c r="T18" s="29"/>
      <c r="U18" s="21"/>
      <c r="V18" s="22"/>
      <c r="W18" s="20"/>
      <c r="X18" s="21"/>
      <c r="Y18" s="30"/>
    </row>
    <row r="19" customFormat="false" ht="15" hidden="false" customHeight="false" outlineLevel="0" collapsed="false">
      <c r="A19" s="9" t="n">
        <v>15</v>
      </c>
      <c r="B19" s="10"/>
      <c r="C19" s="11"/>
      <c r="D19" s="12"/>
      <c r="E19" s="12"/>
      <c r="F19" s="9"/>
      <c r="G19" s="12" t="str">
        <f aca="false">IF(COUNT(D19,F19)=2,D19*F19,"")</f>
        <v/>
      </c>
      <c r="H19" s="13"/>
      <c r="I19" s="12"/>
      <c r="J19" s="14"/>
      <c r="K19" s="15"/>
      <c r="L19" s="15"/>
      <c r="M19" s="12"/>
      <c r="N19" s="15"/>
      <c r="O19" s="16"/>
      <c r="P19" s="16"/>
      <c r="Q19" s="17"/>
      <c r="R19" s="16"/>
      <c r="S19" s="10"/>
      <c r="T19" s="18"/>
      <c r="U19" s="10"/>
      <c r="V19" s="11"/>
      <c r="W19" s="9"/>
      <c r="X19" s="10"/>
      <c r="Y19" s="19"/>
    </row>
    <row r="21" customFormat="false" ht="24" hidden="false" customHeight="true" outlineLevel="0" collapsed="false">
      <c r="A21" s="31" t="s">
        <v>39</v>
      </c>
      <c r="B21" s="31"/>
      <c r="C21" s="32" t="s">
        <v>40</v>
      </c>
      <c r="D21" s="33" t="str">
        <f aca="false">IFERROR(ROUND(AVERAGE(W5:W19),1),"-")</f>
        <v>-</v>
      </c>
      <c r="E21" s="32" t="s">
        <v>41</v>
      </c>
      <c r="F21" s="34" t="str">
        <f aca="false">COUNTA(B5:B19)&amp;"/15"</f>
        <v>0/15</v>
      </c>
    </row>
    <row r="23" customFormat="false" ht="15" hidden="false" customHeight="false" outlineLevel="0" collapsed="false">
      <c r="A23" s="35" t="s">
        <v>42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</sheetData>
  <mergeCells count="14">
    <mergeCell ref="A1:Y1"/>
    <mergeCell ref="B2:F2"/>
    <mergeCell ref="G2:M2"/>
    <mergeCell ref="N2:Y2"/>
    <mergeCell ref="A3:C3"/>
    <mergeCell ref="D3:H3"/>
    <mergeCell ref="I3:J3"/>
    <mergeCell ref="K3:O3"/>
    <mergeCell ref="Q3:R3"/>
    <mergeCell ref="S3:T3"/>
    <mergeCell ref="U3:V3"/>
    <mergeCell ref="W3:Y3"/>
    <mergeCell ref="A21:B21"/>
    <mergeCell ref="A23:Y23"/>
  </mergeCells>
  <conditionalFormatting sqref="O5:O1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P5:P1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Q5:Q19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R5:R19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36" t="s">
        <v>43</v>
      </c>
      <c r="B1" s="36"/>
      <c r="C1" s="36"/>
      <c r="D1" s="36"/>
      <c r="E1" s="36"/>
      <c r="F1" s="36"/>
      <c r="G1" s="36"/>
    </row>
    <row r="2" customFormat="false" ht="19.5" hidden="false" customHeight="true" outlineLevel="0" collapsed="false">
      <c r="A2" s="37" t="s">
        <v>44</v>
      </c>
      <c r="B2" s="37"/>
      <c r="C2" s="37"/>
      <c r="D2" s="37"/>
      <c r="E2" s="37"/>
      <c r="F2" s="37"/>
      <c r="G2" s="37"/>
    </row>
    <row r="3" customFormat="false" ht="36" hidden="false" customHeight="true" outlineLevel="0" collapsed="false">
      <c r="A3" s="8" t="s">
        <v>45</v>
      </c>
      <c r="B3" s="8" t="s">
        <v>46</v>
      </c>
      <c r="C3" s="8" t="s">
        <v>47</v>
      </c>
      <c r="D3" s="8" t="s">
        <v>48</v>
      </c>
      <c r="E3" s="8" t="s">
        <v>49</v>
      </c>
      <c r="F3" s="8" t="s">
        <v>50</v>
      </c>
      <c r="G3" s="8" t="s">
        <v>51</v>
      </c>
    </row>
    <row r="4" customFormat="false" ht="17.35" hidden="false" customHeight="false" outlineLevel="0" collapsed="false">
      <c r="A4" s="38" t="s">
        <v>52</v>
      </c>
      <c r="B4" s="39" t="n">
        <v>1</v>
      </c>
      <c r="C4" s="40" t="s">
        <v>53</v>
      </c>
      <c r="D4" s="40" t="s">
        <v>54</v>
      </c>
      <c r="E4" s="40" t="s">
        <v>55</v>
      </c>
      <c r="F4" s="40" t="s">
        <v>56</v>
      </c>
      <c r="G4" s="41"/>
    </row>
    <row r="5" customFormat="false" ht="17.35" hidden="false" customHeight="false" outlineLevel="0" collapsed="false">
      <c r="A5" s="42" t="s">
        <v>52</v>
      </c>
      <c r="B5" s="43" t="n">
        <v>2</v>
      </c>
      <c r="C5" s="44" t="s">
        <v>57</v>
      </c>
      <c r="D5" s="44" t="s">
        <v>58</v>
      </c>
      <c r="E5" s="44" t="s">
        <v>59</v>
      </c>
      <c r="F5" s="44" t="s">
        <v>60</v>
      </c>
      <c r="G5" s="45"/>
    </row>
    <row r="6" customFormat="false" ht="17.35" hidden="false" customHeight="false" outlineLevel="0" collapsed="false">
      <c r="A6" s="38" t="s">
        <v>52</v>
      </c>
      <c r="B6" s="39" t="n">
        <v>3</v>
      </c>
      <c r="C6" s="40" t="s">
        <v>61</v>
      </c>
      <c r="D6" s="40" t="s">
        <v>62</v>
      </c>
      <c r="E6" s="40" t="s">
        <v>63</v>
      </c>
      <c r="F6" s="40" t="s">
        <v>64</v>
      </c>
      <c r="G6" s="41"/>
    </row>
    <row r="7" customFormat="false" ht="23.85" hidden="false" customHeight="false" outlineLevel="0" collapsed="false">
      <c r="A7" s="42" t="s">
        <v>52</v>
      </c>
      <c r="B7" s="43" t="n">
        <v>4</v>
      </c>
      <c r="C7" s="44" t="s">
        <v>65</v>
      </c>
      <c r="D7" s="44" t="s">
        <v>66</v>
      </c>
      <c r="E7" s="44" t="s">
        <v>55</v>
      </c>
      <c r="F7" s="44" t="s">
        <v>67</v>
      </c>
      <c r="G7" s="45"/>
    </row>
    <row r="8" customFormat="false" ht="17.35" hidden="false" customHeight="false" outlineLevel="0" collapsed="false">
      <c r="A8" s="46" t="s">
        <v>68</v>
      </c>
      <c r="B8" s="47" t="n">
        <v>5</v>
      </c>
      <c r="C8" s="48" t="s">
        <v>69</v>
      </c>
      <c r="D8" s="48" t="s">
        <v>70</v>
      </c>
      <c r="E8" s="48" t="s">
        <v>55</v>
      </c>
      <c r="F8" s="48" t="s">
        <v>71</v>
      </c>
      <c r="G8" s="41"/>
    </row>
    <row r="9" customFormat="false" ht="17.35" hidden="false" customHeight="false" outlineLevel="0" collapsed="false">
      <c r="A9" s="42" t="s">
        <v>52</v>
      </c>
      <c r="B9" s="43" t="n">
        <v>6</v>
      </c>
      <c r="C9" s="44" t="s">
        <v>72</v>
      </c>
      <c r="D9" s="44" t="s">
        <v>73</v>
      </c>
      <c r="E9" s="44" t="s">
        <v>55</v>
      </c>
      <c r="F9" s="44" t="s">
        <v>74</v>
      </c>
      <c r="G9" s="45"/>
    </row>
    <row r="10" customFormat="false" ht="17.35" hidden="false" customHeight="false" outlineLevel="0" collapsed="false">
      <c r="A10" s="38" t="s">
        <v>52</v>
      </c>
      <c r="B10" s="39" t="n">
        <v>7</v>
      </c>
      <c r="C10" s="40" t="s">
        <v>75</v>
      </c>
      <c r="D10" s="40" t="s">
        <v>76</v>
      </c>
      <c r="E10" s="40" t="s">
        <v>55</v>
      </c>
      <c r="F10" s="40" t="s">
        <v>77</v>
      </c>
      <c r="G10" s="41"/>
    </row>
    <row r="11" customFormat="false" ht="17.35" hidden="false" customHeight="false" outlineLevel="0" collapsed="false">
      <c r="A11" s="49" t="s">
        <v>68</v>
      </c>
      <c r="B11" s="50" t="n">
        <v>8</v>
      </c>
      <c r="C11" s="51" t="s">
        <v>78</v>
      </c>
      <c r="D11" s="51" t="s">
        <v>79</v>
      </c>
      <c r="E11" s="51" t="s">
        <v>63</v>
      </c>
      <c r="F11" s="51" t="s">
        <v>80</v>
      </c>
      <c r="G11" s="45"/>
    </row>
    <row r="12" customFormat="false" ht="17.35" hidden="false" customHeight="false" outlineLevel="0" collapsed="false">
      <c r="A12" s="46" t="s">
        <v>68</v>
      </c>
      <c r="B12" s="47" t="n">
        <v>9</v>
      </c>
      <c r="C12" s="48" t="s">
        <v>81</v>
      </c>
      <c r="D12" s="48" t="s">
        <v>82</v>
      </c>
      <c r="E12" s="48" t="s">
        <v>55</v>
      </c>
      <c r="F12" s="48" t="s">
        <v>83</v>
      </c>
      <c r="G12" s="41"/>
    </row>
    <row r="13" customFormat="false" ht="17.35" hidden="false" customHeight="false" outlineLevel="0" collapsed="false">
      <c r="A13" s="42" t="s">
        <v>52</v>
      </c>
      <c r="B13" s="43" t="n">
        <v>10</v>
      </c>
      <c r="C13" s="44" t="s">
        <v>84</v>
      </c>
      <c r="D13" s="44" t="s">
        <v>85</v>
      </c>
      <c r="E13" s="44" t="s">
        <v>55</v>
      </c>
      <c r="F13" s="44" t="s">
        <v>86</v>
      </c>
      <c r="G13" s="45"/>
    </row>
    <row r="14" customFormat="false" ht="17.35" hidden="false" customHeight="false" outlineLevel="0" collapsed="false">
      <c r="A14" s="46" t="s">
        <v>68</v>
      </c>
      <c r="B14" s="47" t="n">
        <v>11</v>
      </c>
      <c r="C14" s="48" t="s">
        <v>87</v>
      </c>
      <c r="D14" s="48" t="s">
        <v>88</v>
      </c>
      <c r="E14" s="48" t="s">
        <v>89</v>
      </c>
      <c r="F14" s="48" t="s">
        <v>90</v>
      </c>
      <c r="G14" s="41"/>
    </row>
    <row r="15" customFormat="false" ht="17.35" hidden="false" customHeight="false" outlineLevel="0" collapsed="false">
      <c r="A15" s="42" t="s">
        <v>52</v>
      </c>
      <c r="B15" s="43" t="n">
        <v>12</v>
      </c>
      <c r="C15" s="44" t="s">
        <v>91</v>
      </c>
      <c r="D15" s="44" t="s">
        <v>92</v>
      </c>
      <c r="E15" s="44" t="s">
        <v>55</v>
      </c>
      <c r="F15" s="44" t="s">
        <v>93</v>
      </c>
      <c r="G15" s="45"/>
    </row>
    <row r="16" customFormat="false" ht="17.35" hidden="false" customHeight="false" outlineLevel="0" collapsed="false">
      <c r="A16" s="46" t="s">
        <v>68</v>
      </c>
      <c r="B16" s="47" t="n">
        <v>13</v>
      </c>
      <c r="C16" s="48" t="s">
        <v>94</v>
      </c>
      <c r="D16" s="48" t="s">
        <v>95</v>
      </c>
      <c r="E16" s="48" t="s">
        <v>96</v>
      </c>
      <c r="F16" s="48" t="s">
        <v>97</v>
      </c>
      <c r="G16" s="41"/>
    </row>
    <row r="17" customFormat="false" ht="17.35" hidden="false" customHeight="false" outlineLevel="0" collapsed="false">
      <c r="A17" s="49" t="s">
        <v>68</v>
      </c>
      <c r="B17" s="50" t="n">
        <v>14</v>
      </c>
      <c r="C17" s="51" t="s">
        <v>98</v>
      </c>
      <c r="D17" s="51" t="s">
        <v>99</v>
      </c>
      <c r="E17" s="51" t="s">
        <v>96</v>
      </c>
      <c r="F17" s="51" t="s">
        <v>100</v>
      </c>
      <c r="G17" s="45"/>
    </row>
    <row r="18" customFormat="false" ht="17.35" hidden="false" customHeight="false" outlineLevel="0" collapsed="false">
      <c r="A18" s="46" t="s">
        <v>68</v>
      </c>
      <c r="B18" s="47" t="n">
        <v>15</v>
      </c>
      <c r="C18" s="48" t="s">
        <v>101</v>
      </c>
      <c r="D18" s="48" t="s">
        <v>102</v>
      </c>
      <c r="E18" s="48" t="s">
        <v>63</v>
      </c>
      <c r="F18" s="48" t="s">
        <v>103</v>
      </c>
      <c r="G18" s="41"/>
    </row>
    <row r="19" customFormat="false" ht="17.35" hidden="false" customHeight="false" outlineLevel="0" collapsed="false">
      <c r="A19" s="49" t="s">
        <v>68</v>
      </c>
      <c r="B19" s="50" t="n">
        <v>16</v>
      </c>
      <c r="C19" s="51" t="s">
        <v>104</v>
      </c>
      <c r="D19" s="51" t="s">
        <v>105</v>
      </c>
      <c r="E19" s="51" t="s">
        <v>63</v>
      </c>
      <c r="F19" s="51" t="s">
        <v>106</v>
      </c>
      <c r="G19" s="45"/>
    </row>
    <row r="20" customFormat="false" ht="17.35" hidden="false" customHeight="false" outlineLevel="0" collapsed="false">
      <c r="A20" s="46" t="s">
        <v>68</v>
      </c>
      <c r="B20" s="47" t="n">
        <v>17</v>
      </c>
      <c r="C20" s="48" t="s">
        <v>107</v>
      </c>
      <c r="D20" s="48" t="s">
        <v>108</v>
      </c>
      <c r="E20" s="48" t="s">
        <v>55</v>
      </c>
      <c r="F20" s="48" t="s">
        <v>109</v>
      </c>
      <c r="G20" s="41"/>
    </row>
    <row r="21" customFormat="false" ht="17.35" hidden="false" customHeight="false" outlineLevel="0" collapsed="false">
      <c r="A21" s="49" t="s">
        <v>68</v>
      </c>
      <c r="B21" s="50" t="n">
        <v>18</v>
      </c>
      <c r="C21" s="51" t="s">
        <v>110</v>
      </c>
      <c r="D21" s="51" t="s">
        <v>111</v>
      </c>
      <c r="E21" s="51" t="s">
        <v>112</v>
      </c>
      <c r="F21" s="51" t="s">
        <v>113</v>
      </c>
      <c r="G21" s="45"/>
    </row>
    <row r="22" customFormat="false" ht="17.35" hidden="false" customHeight="false" outlineLevel="0" collapsed="false">
      <c r="A22" s="46" t="s">
        <v>68</v>
      </c>
      <c r="B22" s="47" t="n">
        <v>19</v>
      </c>
      <c r="C22" s="48" t="s">
        <v>114</v>
      </c>
      <c r="D22" s="48" t="s">
        <v>115</v>
      </c>
      <c r="E22" s="48" t="s">
        <v>63</v>
      </c>
      <c r="F22" s="48" t="s">
        <v>116</v>
      </c>
      <c r="G22" s="41"/>
    </row>
    <row r="23" customFormat="false" ht="17.35" hidden="false" customHeight="false" outlineLevel="0" collapsed="false">
      <c r="A23" s="42" t="s">
        <v>52</v>
      </c>
      <c r="B23" s="43" t="n">
        <v>20</v>
      </c>
      <c r="C23" s="44" t="s">
        <v>117</v>
      </c>
      <c r="D23" s="44" t="s">
        <v>118</v>
      </c>
      <c r="E23" s="44" t="s">
        <v>119</v>
      </c>
      <c r="F23" s="44" t="s">
        <v>120</v>
      </c>
      <c r="G23" s="45"/>
    </row>
    <row r="24" customFormat="false" ht="17.35" hidden="false" customHeight="false" outlineLevel="0" collapsed="false">
      <c r="A24" s="38" t="s">
        <v>52</v>
      </c>
      <c r="B24" s="39" t="n">
        <v>21</v>
      </c>
      <c r="C24" s="40" t="s">
        <v>121</v>
      </c>
      <c r="D24" s="40" t="s">
        <v>122</v>
      </c>
      <c r="E24" s="40" t="s">
        <v>119</v>
      </c>
      <c r="F24" s="40" t="s">
        <v>123</v>
      </c>
      <c r="G24" s="41"/>
    </row>
    <row r="25" customFormat="false" ht="17.35" hidden="false" customHeight="false" outlineLevel="0" collapsed="false">
      <c r="A25" s="42" t="s">
        <v>52</v>
      </c>
      <c r="B25" s="43" t="n">
        <v>22</v>
      </c>
      <c r="C25" s="44" t="s">
        <v>124</v>
      </c>
      <c r="D25" s="44" t="s">
        <v>125</v>
      </c>
      <c r="E25" s="44" t="s">
        <v>119</v>
      </c>
      <c r="F25" s="44" t="s">
        <v>126</v>
      </c>
      <c r="G25" s="45"/>
    </row>
    <row r="26" customFormat="false" ht="17.35" hidden="false" customHeight="false" outlineLevel="0" collapsed="false">
      <c r="A26" s="46" t="s">
        <v>68</v>
      </c>
      <c r="B26" s="47" t="n">
        <v>23</v>
      </c>
      <c r="C26" s="48" t="s">
        <v>127</v>
      </c>
      <c r="D26" s="48" t="s">
        <v>128</v>
      </c>
      <c r="E26" s="48" t="s">
        <v>129</v>
      </c>
      <c r="F26" s="48" t="s">
        <v>130</v>
      </c>
      <c r="G26" s="41"/>
    </row>
    <row r="27" customFormat="false" ht="17.35" hidden="false" customHeight="false" outlineLevel="0" collapsed="false">
      <c r="A27" s="49" t="s">
        <v>68</v>
      </c>
      <c r="B27" s="50" t="n">
        <v>24</v>
      </c>
      <c r="C27" s="51" t="s">
        <v>131</v>
      </c>
      <c r="D27" s="51" t="s">
        <v>132</v>
      </c>
      <c r="E27" s="51" t="s">
        <v>129</v>
      </c>
      <c r="F27" s="51" t="s">
        <v>130</v>
      </c>
      <c r="G27" s="45"/>
    </row>
    <row r="28" customFormat="false" ht="17.35" hidden="false" customHeight="false" outlineLevel="0" collapsed="false">
      <c r="A28" s="46" t="s">
        <v>68</v>
      </c>
      <c r="B28" s="47" t="n">
        <v>25</v>
      </c>
      <c r="C28" s="48" t="s">
        <v>133</v>
      </c>
      <c r="D28" s="48" t="s">
        <v>134</v>
      </c>
      <c r="E28" s="48" t="s">
        <v>129</v>
      </c>
      <c r="F28" s="48" t="s">
        <v>130</v>
      </c>
      <c r="G28" s="41"/>
    </row>
    <row r="29" customFormat="false" ht="17.35" hidden="false" customHeight="false" outlineLevel="0" collapsed="false">
      <c r="A29" s="49" t="s">
        <v>68</v>
      </c>
      <c r="B29" s="50" t="n">
        <v>26</v>
      </c>
      <c r="C29" s="51" t="s">
        <v>135</v>
      </c>
      <c r="D29" s="51" t="s">
        <v>136</v>
      </c>
      <c r="E29" s="51" t="s">
        <v>129</v>
      </c>
      <c r="F29" s="51" t="s">
        <v>130</v>
      </c>
      <c r="G29" s="45"/>
    </row>
    <row r="30" customFormat="false" ht="17.35" hidden="false" customHeight="false" outlineLevel="0" collapsed="false">
      <c r="A30" s="46" t="s">
        <v>68</v>
      </c>
      <c r="B30" s="47" t="n">
        <v>27</v>
      </c>
      <c r="C30" s="48" t="s">
        <v>137</v>
      </c>
      <c r="D30" s="48" t="s">
        <v>138</v>
      </c>
      <c r="E30" s="48" t="s">
        <v>129</v>
      </c>
      <c r="F30" s="48" t="s">
        <v>130</v>
      </c>
      <c r="G30" s="41"/>
    </row>
    <row r="31" customFormat="false" ht="17.35" hidden="false" customHeight="false" outlineLevel="0" collapsed="false">
      <c r="A31" s="49" t="s">
        <v>68</v>
      </c>
      <c r="B31" s="50" t="n">
        <v>28</v>
      </c>
      <c r="C31" s="51" t="s">
        <v>139</v>
      </c>
      <c r="D31" s="51" t="s">
        <v>140</v>
      </c>
      <c r="E31" s="51" t="s">
        <v>129</v>
      </c>
      <c r="F31" s="51" t="s">
        <v>130</v>
      </c>
      <c r="G31" s="45"/>
    </row>
    <row r="32" customFormat="false" ht="17.35" hidden="false" customHeight="false" outlineLevel="0" collapsed="false">
      <c r="A32" s="46" t="s">
        <v>68</v>
      </c>
      <c r="B32" s="47" t="n">
        <v>29</v>
      </c>
      <c r="C32" s="48" t="s">
        <v>141</v>
      </c>
      <c r="D32" s="48" t="s">
        <v>142</v>
      </c>
      <c r="E32" s="48" t="s">
        <v>143</v>
      </c>
      <c r="F32" s="48" t="s">
        <v>144</v>
      </c>
      <c r="G32" s="41"/>
    </row>
    <row r="33" customFormat="false" ht="17.35" hidden="false" customHeight="false" outlineLevel="0" collapsed="false">
      <c r="A33" s="49" t="s">
        <v>68</v>
      </c>
      <c r="B33" s="50" t="n">
        <v>30</v>
      </c>
      <c r="C33" s="51" t="s">
        <v>145</v>
      </c>
      <c r="D33" s="51" t="s">
        <v>146</v>
      </c>
      <c r="E33" s="51" t="s">
        <v>143</v>
      </c>
      <c r="F33" s="51" t="s">
        <v>144</v>
      </c>
      <c r="G33" s="45"/>
    </row>
    <row r="34" customFormat="false" ht="17.35" hidden="false" customHeight="false" outlineLevel="0" collapsed="false">
      <c r="A34" s="46" t="s">
        <v>68</v>
      </c>
      <c r="B34" s="47" t="n">
        <v>31</v>
      </c>
      <c r="C34" s="48" t="s">
        <v>147</v>
      </c>
      <c r="D34" s="48" t="s">
        <v>148</v>
      </c>
      <c r="E34" s="48" t="s">
        <v>143</v>
      </c>
      <c r="F34" s="48" t="s">
        <v>144</v>
      </c>
      <c r="G34" s="41"/>
    </row>
    <row r="35" customFormat="false" ht="17.35" hidden="false" customHeight="false" outlineLevel="0" collapsed="false">
      <c r="A35" s="49" t="s">
        <v>68</v>
      </c>
      <c r="B35" s="50" t="n">
        <v>32</v>
      </c>
      <c r="C35" s="51" t="s">
        <v>149</v>
      </c>
      <c r="D35" s="51" t="s">
        <v>150</v>
      </c>
      <c r="E35" s="51" t="s">
        <v>151</v>
      </c>
      <c r="F35" s="51" t="s">
        <v>144</v>
      </c>
      <c r="G35" s="45"/>
    </row>
    <row r="36" customFormat="false" ht="17.35" hidden="false" customHeight="false" outlineLevel="0" collapsed="false">
      <c r="A36" s="46" t="s">
        <v>68</v>
      </c>
      <c r="B36" s="47" t="n">
        <v>33</v>
      </c>
      <c r="C36" s="48" t="s">
        <v>152</v>
      </c>
      <c r="D36" s="48" t="s">
        <v>153</v>
      </c>
      <c r="E36" s="48" t="s">
        <v>151</v>
      </c>
      <c r="F36" s="48" t="s">
        <v>144</v>
      </c>
      <c r="G36" s="41"/>
    </row>
    <row r="37" customFormat="false" ht="17.35" hidden="false" customHeight="false" outlineLevel="0" collapsed="false">
      <c r="A37" s="49" t="s">
        <v>68</v>
      </c>
      <c r="B37" s="50" t="n">
        <v>34</v>
      </c>
      <c r="C37" s="51" t="s">
        <v>154</v>
      </c>
      <c r="D37" s="51" t="s">
        <v>155</v>
      </c>
      <c r="E37" s="51" t="s">
        <v>151</v>
      </c>
      <c r="F37" s="51" t="s">
        <v>144</v>
      </c>
      <c r="G37" s="45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2026-04-19T15:21:06Z</dcterms:created>
  <dc:creator>openpyxl</dc:creator>
  <dc:description/>
  <dc:language>en-US</dc:language>
  <cp:lastModifiedBy/>
  <dcterms:modified xsi:type="dcterms:W3CDTF">2026-04-19T15:21:06Z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